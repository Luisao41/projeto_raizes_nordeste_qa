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ci\Desktop\luis_adm\pfu\sexta\"/>
    </mc:Choice>
  </mc:AlternateContent>
  <xr:revisionPtr revIDLastSave="0" documentId="13_ncr:1_{B64166F4-4EDF-48C3-BFE7-F21D67271C28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KPIs obrigatórios" sheetId="1" r:id="rId1"/>
    <sheet name="KPIs complementares" sheetId="2" r:id="rId2"/>
    <sheet name="Tendência simulada" sheetId="3" r:id="rId3"/>
    <sheet name="Instruções" sheetId="4" r:id="rId4"/>
    <sheet name="Execução mock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1" l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<sst xmlns="http://schemas.openxmlformats.org/spreadsheetml/2006/main" count="192" uniqueCount="178">
  <si>
    <t>RAÍZES DO NORDESTE — SEIS KPIs OBRIGATÓRIOS DE QA</t>
  </si>
  <si>
    <t>Planilha complementar ao documento Word final. Todos os resultados exemplificativos são simulados.</t>
  </si>
  <si>
    <t>ATENÇÃO: valores simulados para demonstração. Não são resultados de testes executados e não podem aprovar uma release real.</t>
  </si>
  <si>
    <t>ID</t>
  </si>
  <si>
    <t>Métrica obrigatória</t>
  </si>
  <si>
    <t>Definição / fórmula</t>
  </si>
  <si>
    <t>Meta</t>
  </si>
  <si>
    <t>Resultado simulado</t>
  </si>
  <si>
    <t>Classificação do exemplo</t>
  </si>
  <si>
    <t>Frequência</t>
  </si>
  <si>
    <t>Evidência necessária</t>
  </si>
  <si>
    <t>M1</t>
  </si>
  <si>
    <t>Taxa de defeitos críticos</t>
  </si>
  <si>
    <t>Defeitos críticos identificados ÷ total de defeitos identificados no ciclo × 100.</t>
  </si>
  <si>
    <t>Por ciclo/release</t>
  </si>
  <si>
    <t>Backlog de defeitos com severidade, status, versão e evidência de reteste. O gate de release exige zero críticos abertos.</t>
  </si>
  <si>
    <t>M2</t>
  </si>
  <si>
    <t>Cobertura de testes automatizados</t>
  </si>
  <si>
    <t>Linhas cobertas ÷ total de linhas instrumentadas × 100. Definir o escopo e mantê-lo constante.</t>
  </si>
  <si>
    <t>A cada build</t>
  </si>
  <si>
    <t>Relatório real de JaCoCo/SonarQube ou ferramenta equivalente, vinculado à versão.</t>
  </si>
  <si>
    <t>M3</t>
  </si>
  <si>
    <t>Tempo de resposta p95</t>
  </si>
  <si>
    <t>Percentil 95 das latências dos fluxos críticos, medido em ambiente e perfil de carga documentados.</t>
  </si>
  <si>
    <t>Por teste de carga</t>
  </si>
  <si>
    <t>Relatório JMeter/k6 com ambiente, usuários virtuais, duração, throughput e taxa de erro.</t>
  </si>
  <si>
    <t>M4</t>
  </si>
  <si>
    <t>Disponibilidade</t>
  </si>
  <si>
    <t>Tempo disponível ÷ tempo total da janela de medição × 100.</t>
  </si>
  <si>
    <t>Mensal/contínua</t>
  </si>
  <si>
    <t>Relatório de monitoramento com janela, indisponibilidades e método de cálculo.</t>
  </si>
  <si>
    <t>M5</t>
  </si>
  <si>
    <t>Satisfação do usuário</t>
  </si>
  <si>
    <t>Percentual de respostas positivas na pesquisa definida (por exemplo, CSAT); registrar instrumento e amostra.</t>
  </si>
  <si>
    <t>Por release/mensal</t>
  </si>
  <si>
    <t>Questionário, tamanho da amostra, período, método e resultados anonimizados.</t>
  </si>
  <si>
    <t>M6</t>
  </si>
  <si>
    <t>MTTR — tempo médio de correção</t>
  </si>
  <si>
    <t>Soma do tempo entre abertura e resolução dos defeitos considerados ÷ quantidade de defeitos resolvidos.</t>
  </si>
  <si>
    <t>Por release</t>
  </si>
  <si>
    <t>Histórico real de abertura e resolução de defeitos, com regra de cálculo e severidade.</t>
  </si>
  <si>
    <t>KPIs COMPLEMENTARES — EXEMPLOS SIMULADOS</t>
  </si>
  <si>
    <t>Métrica</t>
  </si>
  <si>
    <t>Definição</t>
  </si>
  <si>
    <t>Meta proposta</t>
  </si>
  <si>
    <t>Uso</t>
  </si>
  <si>
    <t>Taxa de rejeição de pedidos</t>
  </si>
  <si>
    <t>Pedidos não concluídos ÷ pedidos iniciados × 100.</t>
  </si>
  <si>
    <t>&lt; 2%</t>
  </si>
  <si>
    <t>1,6%</t>
  </si>
  <si>
    <t>Detectar abandono/falhas no checkout.</t>
  </si>
  <si>
    <t>Eventos de pedidos e relatório do ciclo.</t>
  </si>
  <si>
    <t>Sucesso do pagamento mock</t>
  </si>
  <si>
    <t>Pagamentos aprovados ÷ tentativas válidas × 100.</t>
  </si>
  <si>
    <t>≥ 99,5%</t>
  </si>
  <si>
    <t>99,6%</t>
  </si>
  <si>
    <t>Monitorar a integração simulada.</t>
  </si>
  <si>
    <t>Logs do mock e correlation_id.</t>
  </si>
  <si>
    <t>Tempo médio de login</t>
  </si>
  <si>
    <t>Tempo entre envio de credenciais e resposta de autenticação.</t>
  </si>
  <si>
    <t>&lt; 1 s</t>
  </si>
  <si>
    <t>0,8 s</t>
  </si>
  <si>
    <t>Acompanhar experiência inicial.</t>
  </si>
  <si>
    <t>Medição de latência da API.</t>
  </si>
  <si>
    <t>Defeitos reabertos</t>
  </si>
  <si>
    <t>Defeitos reabertos ÷ defeitos resolvidos × 100.</t>
  </si>
  <si>
    <t>&lt; 5%</t>
  </si>
  <si>
    <t>3,2%</t>
  </si>
  <si>
    <t>Avaliar qualidade da correção.</t>
  </si>
  <si>
    <t>Histórico do rastreador de defeitos.</t>
  </si>
  <si>
    <t>MTBF</t>
  </si>
  <si>
    <t>Tempo operacional entre falhas observadas.</t>
  </si>
  <si>
    <t>&gt; 720 h</t>
  </si>
  <si>
    <t>744 h</t>
  </si>
  <si>
    <t>Acompanhar estabilidade no longo prazo.</t>
  </si>
  <si>
    <t>Monitoramento contínuo e incidentes.</t>
  </si>
  <si>
    <t>TENDÊNCIA ILUSTRATIVA — TODOS OS VALORES SÃO SIMULADOS</t>
  </si>
  <si>
    <t>Ciclo</t>
  </si>
  <si>
    <t>Cobertura automatizada</t>
  </si>
  <si>
    <t>Tempo p95 (s)</t>
  </si>
  <si>
    <t>Satisfação</t>
  </si>
  <si>
    <t>MTTR (h)</t>
  </si>
  <si>
    <t>Ciclo 1</t>
  </si>
  <si>
    <t>Ciclo 2</t>
  </si>
  <si>
    <t>Ciclo 3</t>
  </si>
  <si>
    <t>Ciclo 4</t>
  </si>
  <si>
    <t>Ciclo 5</t>
  </si>
  <si>
    <t>A série é apenas ilustrativa para demonstrar o acompanhamento entre ciclos. Substitua os dados por medições reais antes de qualquer decisão de release.</t>
  </si>
  <si>
    <t>INSTRUÇÕES E LIMITAÇÕES</t>
  </si>
  <si>
    <t>Finalidade</t>
  </si>
  <si>
    <t>Planilha complementar ao projeto acadêmico de QA da rede fictícia Raízes do Nordeste.</t>
  </si>
  <si>
    <t>Dados simulados</t>
  </si>
  <si>
    <t>Todos os valores numéricos de exemplo são fictícios e não comprovam execução de testes.</t>
  </si>
  <si>
    <t>Seis KPIs obrigatórios</t>
  </si>
  <si>
    <t>Taxa de defeitos, cobertura automatizada, tempo de resposta, disponibilidade, satisfação do usuário e MTTR.</t>
  </si>
  <si>
    <t>Como atualizar</t>
  </si>
  <si>
    <t>Substitua os exemplos por resultados obtidos em ambiente autorizado e registre versão, data, ambiente, ferramenta e evidência.</t>
  </si>
  <si>
    <t>Cobertura</t>
  </si>
  <si>
    <t>Documente se a cobertura considera linhas, branches ou funcionalidades. Não altere o critério entre ciclos sem registrar.</t>
  </si>
  <si>
    <t>Desempenho</t>
  </si>
  <si>
    <t>O cenário de 500 usuários deve ser executado com ferramenta de carga e ambiente dimensionado. Gherkin não gera carga.</t>
  </si>
  <si>
    <t>Critério de release</t>
  </si>
  <si>
    <t>Mesmo que a taxa de defeitos do ciclo esteja abaixo de 2%, a release não pode ser aprovada se houver defeito crítico aberto.</t>
  </si>
  <si>
    <t>LGPD</t>
  </si>
  <si>
    <t>Use apenas dados fictícios; minimize dados pessoais em logs e evidências.</t>
  </si>
  <si>
    <t>Coerência com o Word</t>
  </si>
  <si>
    <t>O Word final identifica os valores como simulação e registra que JMeter/ZAP não foram executados.</t>
  </si>
  <si>
    <t>Evidência complementar</t>
  </si>
  <si>
    <t>Consulte a aba Execução mock para os resultados reproduzíveis do mock local.</t>
  </si>
  <si>
    <t>Limite das evidências</t>
  </si>
  <si>
    <t>A execução local não valida o produto real; JMeter e ZAP oficiais permanecem pendentes de ambiente autorizado.</t>
  </si>
  <si>
    <t>RAÍZES DO NORDESTE — EVIDÊNCIAS DE EXECUÇÃO EM MOCK LOCAL</t>
  </si>
  <si>
    <t>Execução reproduzível em API mock local descartável; não representa testes do sistema real nem valida uma aplicação implantada.</t>
  </si>
  <si>
    <t>1. Resultado da suíte de compatibilidade Postman</t>
  </si>
  <si>
    <t>Alvo</t>
  </si>
  <si>
    <t>Ferramenta</t>
  </si>
  <si>
    <t>Requisições</t>
  </si>
  <si>
    <t>Asserções aprovadas</t>
  </si>
  <si>
    <t>Asserções reprovadas</t>
  </si>
  <si>
    <t>Resultado</t>
  </si>
  <si>
    <t>Mock local (127.0.0.1:3000)</t>
  </si>
  <si>
    <t>Runner de compatibilidade local (não oficial)</t>
  </si>
  <si>
    <t>PASSOU no mock; Postman/Newman oficial não executado</t>
  </si>
  <si>
    <t>2. Ensaio de carga complementar (smoke test)</t>
  </si>
  <si>
    <t>Indicador</t>
  </si>
  <si>
    <t>Resultado observado no mock</t>
  </si>
  <si>
    <t>Interpretação / limite</t>
  </si>
  <si>
    <t>Clientes concorrentes</t>
  </si>
  <si>
    <t>Carga simulada contra mock; não corresponde a clientes reais.</t>
  </si>
  <si>
    <t>Duração</t>
  </si>
  <si>
    <t>Segundos; inferior ao cenário CT08 de 10 minutos.</t>
  </si>
  <si>
    <t>Total de requisições</t>
  </si>
  <si>
    <t>Contagem do runner local.</t>
  </si>
  <si>
    <t>Taxa de erro</t>
  </si>
  <si>
    <t>0% de erros HTTP/transporte no ensaio do mock.</t>
  </si>
  <si>
    <t>Throughput</t>
  </si>
  <si>
    <t>Requisições por segundo; somente neste mock.</t>
  </si>
  <si>
    <t>Latência p50</t>
  </si>
  <si>
    <t>Milissegundos.</t>
  </si>
  <si>
    <t>Latência p90</t>
  </si>
  <si>
    <t>Latência p95</t>
  </si>
  <si>
    <t>Milissegundos; não é KPI medido do produto.</t>
  </si>
  <si>
    <t>Latência p99</t>
  </si>
  <si>
    <t>Latência máxima</t>
  </si>
  <si>
    <t>3. Verificações negativas de segurança (checks simples, não varredura OWASP ZAP)</t>
  </si>
  <si>
    <t>Verificação</t>
  </si>
  <si>
    <t>Resultado observado</t>
  </si>
  <si>
    <t>SEC-01</t>
  </si>
  <si>
    <t>Consulta de preferências sem autenticação</t>
  </si>
  <si>
    <t>PASSOU no mock — HTTP 401</t>
  </si>
  <si>
    <t>SEC-02</t>
  </si>
  <si>
    <t>Consulta de pedido sem autenticação</t>
  </si>
  <si>
    <t>SEC-03</t>
  </si>
  <si>
    <t>Tentativa de SQL Injection no login</t>
  </si>
  <si>
    <t>SEC-04</t>
  </si>
  <si>
    <t>Cliente tenta consultar auditoria</t>
  </si>
  <si>
    <t>PASSOU no mock — HTTP 403</t>
  </si>
  <si>
    <t>SEC-05</t>
  </si>
  <si>
    <t>Cliente tenta consultar relatório da matriz</t>
  </si>
  <si>
    <t>SEC-06</t>
  </si>
  <si>
    <t>Envio de JSON inválido</t>
  </si>
  <si>
    <t>PASSOU no mock — HTTP 400 controlado</t>
  </si>
  <si>
    <t>4. Cenários Gherkin mapeados para o mock</t>
  </si>
  <si>
    <t>Cenário</t>
  </si>
  <si>
    <t>Observação</t>
  </si>
  <si>
    <t>CT01 — Login válido</t>
  </si>
  <si>
    <t>PASSOU (mock)</t>
  </si>
  <si>
    <t>Não executado em Cucumber oficial.</t>
  </si>
  <si>
    <t>CT03 — Pedido com pagamento aprovado</t>
  </si>
  <si>
    <t>Pedido e pagamento processados pelo mock.</t>
  </si>
  <si>
    <t>CT04 — Pagamento negado</t>
  </si>
  <si>
    <t>Verificação de status final no mock.</t>
  </si>
  <si>
    <t>CT08 — 500 usuários concorrentes</t>
  </si>
  <si>
    <t>PARCIAL</t>
  </si>
  <si>
    <t>500 clientes por 30,44 s; cenário previsto exige 10 min/JMeter.</t>
  </si>
  <si>
    <t>CT10 — SQL Injection</t>
  </si>
  <si>
    <t>Sem confirmação de segurança do produto real.</t>
  </si>
  <si>
    <t>REGISTRO DE EXECUÇÃO: início 16/10/2026 12:45:08 UTC; fim 16/10/2026 12:45:38 UTC. Evidências anexas: relatorio_execucao_mock_qa.json, relatorio_execucao_mock_qa.txt e carga_local_mock.csv. Não foram executados Postman/Newman oficial, Cucumber oficial, JMeter nem OWASP ZAP. Todos os resultados desta aba pertencem exclusivamente ao mock acadêmico e não devem substituir os KPIs simulados nem ser tratados como medição do sistema final.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</si>
</sst>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&quot; s&quot;"/>
    <numFmt numFmtId="167" formatCode="0.0&quot; h&quot;"/>
  </numFmts>
  <fonts count="15" x14ac:knownFonts="1">
    <font>
      <sz val="11"/>
      <color theme="1"/>
      <name val="Calibri"/>
    </font>
    <font>
      <b/>
      <sz val="15"/>
      <color rgb="FFFFFFFF"/>
      <name val="Arial"/>
    </font>
    <font>
      <i/>
      <sz val="10"/>
      <color rgb="FF23312C"/>
      <name val="Arial"/>
    </font>
    <font>
      <b/>
      <sz val="10"/>
      <color rgb="FF9C2F1B"/>
      <name val="Arial"/>
    </font>
    <font>
      <b/>
      <sz val="9"/>
      <color rgb="FFFFFFFF"/>
      <name val="Arial"/>
    </font>
    <font>
      <sz val="9"/>
      <color rgb="FF23312C"/>
      <name val="Arial"/>
    </font>
    <font>
      <i/>
      <sz val="10"/>
      <color rgb="FF9C2F1B"/>
      <name val="Calibri"/>
    </font>
    <font>
      <b/>
      <sz val="11"/>
      <color rgb="FF1E5B45"/>
      <name val="Calibri"/>
    </font>
    <font>
      <b/>
      <sz val="16"/>
      <color rgb="FFFFFFFF"/>
      <name val="Calibri"/>
    </font>
    <font>
      <i/>
      <sz val="10"/>
      <color rgb="FF202020"/>
      <name val="Calibri"/>
    </font>
    <font>
      <b/>
      <sz val="11"/>
      <color rgb="FF173E31"/>
      <name val="Calibri"/>
    </font>
    <font>
      <b/>
      <sz val="10"/>
      <color rgb="FF111111"/>
      <name val="Calibri"/>
    </font>
    <font>
      <sz val="10"/>
      <color rgb="FF111111"/>
      <name val="Calibri"/>
    </font>
    <font>
      <b/>
      <sz val="11"/>
      <color rgb="FF111111"/>
      <name val="Calibri"/>
    </font>
    <font>
      <sz val="11"/>
      <color rgb="FF1111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E5B45"/>
      </patternFill>
    </fill>
    <fill>
      <patternFill patternType="solid">
        <fgColor rgb="FFFCEBDD"/>
      </patternFill>
    </fill>
    <fill>
      <patternFill patternType="solid">
        <fgColor rgb="FFF2F4F3"/>
      </patternFill>
    </fill>
    <fill>
      <patternFill patternType="solid">
        <fgColor rgb="FFE5F1E9"/>
      </patternFill>
    </fill>
    <fill>
      <patternFill patternType="solid">
        <fgColor rgb="FF195C47"/>
      </patternFill>
    </fill>
    <fill>
      <patternFill patternType="solid">
        <fgColor rgb="FFEAF2EE"/>
      </patternFill>
    </fill>
    <fill>
      <patternFill patternType="solid">
        <fgColor rgb="FFD8E9E0"/>
      </patternFill>
    </fill>
    <fill>
      <patternFill patternType="solid">
        <fgColor rgb="FFE7ECE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6DDD7"/>
      </left>
      <right style="thin">
        <color rgb="FFD6DDD7"/>
      </right>
      <top style="thin">
        <color rgb="FFD6DDD7"/>
      </top>
      <bottom style="thin">
        <color rgb="FFD6DDD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164" fontId="5" fillId="4" borderId="1" xfId="0" applyNumberFormat="1" applyFont="1" applyFill="1" applyBorder="1" applyAlignment="1">
      <alignment vertical="top" wrapText="1"/>
    </xf>
    <xf numFmtId="166" fontId="5" fillId="0" borderId="1" xfId="0" applyNumberFormat="1" applyFont="1" applyBorder="1" applyAlignment="1">
      <alignment vertical="top" wrapText="1"/>
    </xf>
    <xf numFmtId="167" fontId="5" fillId="4" borderId="1" xfId="0" applyNumberFormat="1" applyFont="1" applyFill="1" applyBorder="1" applyAlignment="1">
      <alignment vertical="top" wrapText="1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7" fillId="5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1" fillId="9" borderId="0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Fill="1" applyBorder="1" applyAlignment="1">
      <alignment vertical="top" wrapText="1"/>
    </xf>
    <xf numFmtId="0" fontId="13" fillId="8" borderId="0" xfId="0" applyNumberFormat="1" applyFont="1" applyFill="1" applyBorder="1" applyAlignment="1">
      <alignment wrapText="1"/>
    </xf>
    <xf numFmtId="0" fontId="14" fillId="0" borderId="0" xfId="0" applyNumberFormat="1" applyFont="1" applyFill="1" applyBorder="1" applyAlignment="1">
      <alignment wrapText="1"/>
    </xf>
    <xf numFmtId="0" fontId="3" fillId="3" borderId="0" xfId="0" applyFont="1" applyFill="1" applyAlignment="1">
      <alignment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 wrapText="1"/>
    </xf>
    <xf numFmtId="0" fontId="8" fillId="6" borderId="0" xfId="0" applyNumberFormat="1" applyFont="1" applyFill="1" applyBorder="1" applyAlignment="1">
      <alignment horizontal="center" vertical="center" wrapText="1"/>
    </xf>
    <xf numFmtId="0" fontId="9" fillId="7" borderId="0" xfId="0" applyNumberFormat="1" applyFont="1" applyFill="1" applyBorder="1" applyAlignment="1">
      <alignment horizontal="left" vertical="center" wrapText="1"/>
    </xf>
    <xf numFmtId="0" fontId="10" fillId="8" borderId="0" xfId="0" applyNumberFormat="1" applyFont="1" applyFill="1" applyBorder="1" applyAlignment="1">
      <alignment vertical="center" wrapText="1"/>
    </xf>
    <xf numFmtId="0" fontId="12" fillId="10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3"/>
  <c:chart>
    <c:title>
      <c:tx>
        <c:rich>
          <a:bodyPr/>
          <a:lstStyle/>
          <a:p>
            <a:r>
              <a:rPr lang="pt-BR"/>
              <a:t>Cobertura automatizada e satisfação (simulado)</a:t>
            </a:r>
          </a:p>
        </c:rich>
      </c:tx>
      <c:layout>
        <c:manualLayout>
          <c:xMode val="edge"/>
          <c:yMode val="edge"/>
          <c:x val="0.12686805555555555"/>
          <c:y val="0.60980158730158729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'Tendência simulada'!$B$3</c:f>
              <c:strCache>
                <c:ptCount val="1"/>
                <c:pt idx="0">
                  <c:v>Cobertura automatizada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'Tendência simulada'!$A$4:$A$8</c:f>
              <c:strCache>
                <c:ptCount val="5"/>
                <c:pt idx="0">
                  <c:v>Ciclo 1</c:v>
                </c:pt>
                <c:pt idx="1">
                  <c:v>Ciclo 2</c:v>
                </c:pt>
                <c:pt idx="2">
                  <c:v>Ciclo 3</c:v>
                </c:pt>
                <c:pt idx="3">
                  <c:v>Ciclo 4</c:v>
                </c:pt>
                <c:pt idx="4">
                  <c:v>Ciclo 5</c:v>
                </c:pt>
              </c:strCache>
            </c:strRef>
          </c:cat>
          <c:val>
            <c:numRef>
              <c:f>'Tendência simulada'!$B$4:$B$8</c:f>
              <c:numCache>
                <c:formatCode>0.0%</c:formatCode>
                <c:ptCount val="5"/>
                <c:pt idx="0">
                  <c:v>0.62</c:v>
                </c:pt>
                <c:pt idx="1">
                  <c:v>0.69</c:v>
                </c:pt>
                <c:pt idx="2">
                  <c:v>0.74</c:v>
                </c:pt>
                <c:pt idx="3">
                  <c:v>0.79</c:v>
                </c:pt>
                <c:pt idx="4">
                  <c:v>0.84199999999999997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49-4330-BB2F-C77EC9F6FF99}"/>
            </c:ext>
          </c:extLst>
        </c:ser>
        <c:ser>
          <c:idx val="1"/>
          <c:order val="1"/>
          <c:tx>
            <c:strRef>
              <c:f>'Tendência simulada'!$E$3</c:f>
              <c:strCache>
                <c:ptCount val="1"/>
                <c:pt idx="0">
                  <c:v>Satisfação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'Tendência simulada'!$A$4:$A$8</c:f>
              <c:strCache>
                <c:ptCount val="5"/>
                <c:pt idx="0">
                  <c:v>Ciclo 1</c:v>
                </c:pt>
                <c:pt idx="1">
                  <c:v>Ciclo 2</c:v>
                </c:pt>
                <c:pt idx="2">
                  <c:v>Ciclo 3</c:v>
                </c:pt>
                <c:pt idx="3">
                  <c:v>Ciclo 4</c:v>
                </c:pt>
                <c:pt idx="4">
                  <c:v>Ciclo 5</c:v>
                </c:pt>
              </c:strCache>
            </c:strRef>
          </c:cat>
          <c:val>
            <c:numRef>
              <c:f>'Tendência simulada'!$E$4:$E$8</c:f>
              <c:numCache>
                <c:formatCode>0.0%</c:formatCode>
                <c:ptCount val="5"/>
                <c:pt idx="0">
                  <c:v>0.79</c:v>
                </c:pt>
                <c:pt idx="1">
                  <c:v>0.81</c:v>
                </c:pt>
                <c:pt idx="2">
                  <c:v>0.83</c:v>
                </c:pt>
                <c:pt idx="3">
                  <c:v>0.86</c:v>
                </c:pt>
                <c:pt idx="4">
                  <c:v>0.88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749-4330-BB2F-C77EC9F6F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r>
                  <a:rPr lang="pt-BR"/>
                  <a:t>Ciclo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r>
                  <a:rPr lang="pt-BR"/>
                  <a:t>Percentual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2"/>
  <c:chart>
    <c:title>
      <c:tx>
        <c:rich>
          <a:bodyPr/>
          <a:lstStyle/>
          <a:p>
            <a:r>
              <a:rPr lang="pt-BR"/>
              <a:t>Tempo p95 e MTTR (simulado)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'Tendência simulada'!$C$3</c:f>
              <c:strCache>
                <c:ptCount val="1"/>
                <c:pt idx="0">
                  <c:v>Tempo p95 (s)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'Tendência simulada'!$A$4:$A$8</c:f>
              <c:strCache>
                <c:ptCount val="5"/>
                <c:pt idx="0">
                  <c:v>Ciclo 1</c:v>
                </c:pt>
                <c:pt idx="1">
                  <c:v>Ciclo 2</c:v>
                </c:pt>
                <c:pt idx="2">
                  <c:v>Ciclo 3</c:v>
                </c:pt>
                <c:pt idx="3">
                  <c:v>Ciclo 4</c:v>
                </c:pt>
                <c:pt idx="4">
                  <c:v>Ciclo 5</c:v>
                </c:pt>
              </c:strCache>
            </c:strRef>
          </c:cat>
          <c:val>
            <c:numRef>
              <c:f>'Tendência simulada'!$C$4:$C$8</c:f>
              <c:numCache>
                <c:formatCode>0.0</c:formatCode>
                <c:ptCount val="5"/>
                <c:pt idx="0">
                  <c:v>2.8</c:v>
                </c:pt>
                <c:pt idx="1">
                  <c:v>2.5</c:v>
                </c:pt>
                <c:pt idx="2">
                  <c:v>2.2000000000000002</c:v>
                </c:pt>
                <c:pt idx="3">
                  <c:v>2.1</c:v>
                </c:pt>
                <c:pt idx="4">
                  <c:v>1.8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FD-44FF-8035-234E7ACB5F9F}"/>
            </c:ext>
          </c:extLst>
        </c:ser>
        <c:ser>
          <c:idx val="1"/>
          <c:order val="1"/>
          <c:tx>
            <c:strRef>
              <c:f>'Tendência simulada'!$F$3</c:f>
              <c:strCache>
                <c:ptCount val="1"/>
                <c:pt idx="0">
                  <c:v>MTTR (h)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'Tendência simulada'!$A$4:$A$8</c:f>
              <c:strCache>
                <c:ptCount val="5"/>
                <c:pt idx="0">
                  <c:v>Ciclo 1</c:v>
                </c:pt>
                <c:pt idx="1">
                  <c:v>Ciclo 2</c:v>
                </c:pt>
                <c:pt idx="2">
                  <c:v>Ciclo 3</c:v>
                </c:pt>
                <c:pt idx="3">
                  <c:v>Ciclo 4</c:v>
                </c:pt>
                <c:pt idx="4">
                  <c:v>Ciclo 5</c:v>
                </c:pt>
              </c:strCache>
            </c:strRef>
          </c:cat>
          <c:val>
            <c:numRef>
              <c:f>'Tendência simulada'!$F$4:$F$8</c:f>
              <c:numCache>
                <c:formatCode>0.0</c:formatCode>
                <c:ptCount val="5"/>
                <c:pt idx="0">
                  <c:v>31</c:v>
                </c:pt>
                <c:pt idx="1">
                  <c:v>28</c:v>
                </c:pt>
                <c:pt idx="2">
                  <c:v>25</c:v>
                </c:pt>
                <c:pt idx="3">
                  <c:v>22</c:v>
                </c:pt>
                <c:pt idx="4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3FD-44FF-8035-234E7ACB5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r>
                  <a:rPr lang="pt-BR"/>
                  <a:t>Ciclo</a:t>
                </a:r>
              </a:p>
            </c:rich>
          </c:tx>
          <c:layout>
            <c:manualLayout>
              <c:xMode val="edge"/>
              <c:yMode val="edge"/>
              <c:x val="0.42187222222222232"/>
              <c:y val="0.72432936507936507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r>
                  <a:rPr lang="pt-BR"/>
                  <a:t>Valor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040000" cy="2520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5040000" cy="2520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workbookViewId="0">
      <pane ySplit="6" topLeftCell="A7" activePane="bottomLeft" state="frozen"/>
      <selection pane="bottomLeft" activeCell="A23" sqref="A23"/>
    </sheetView>
  </sheetViews>
  <sheetFormatPr defaultRowHeight="14.4" x14ac:dyDescent="0.3"/>
  <cols>
    <col min="1" max="1" width="8" customWidth="1"/>
    <col min="2" max="2" width="29" customWidth="1"/>
    <col min="3" max="3" width="52" customWidth="1"/>
    <col min="4" max="4" width="16" customWidth="1"/>
    <col min="5" max="5" width="18" customWidth="1"/>
    <col min="6" max="6" width="26" customWidth="1"/>
    <col min="7" max="7" width="22" customWidth="1"/>
    <col min="8" max="8" width="56" customWidth="1"/>
  </cols>
  <sheetData>
    <row r="1" spans="1:8" ht="28.05" customHeight="1" x14ac:dyDescent="0.3">
      <c r="A1" s="23" t="s">
        <v>0</v>
      </c>
      <c r="B1" s="21"/>
      <c r="C1" s="21"/>
      <c r="D1" s="21"/>
      <c r="E1" s="21"/>
      <c r="F1" s="21"/>
      <c r="G1" s="21"/>
      <c r="H1" s="21"/>
    </row>
    <row r="2" spans="1:8" x14ac:dyDescent="0.3">
      <c r="A2" s="22" t="s">
        <v>1</v>
      </c>
      <c r="B2" s="21"/>
      <c r="C2" s="21"/>
      <c r="D2" s="21"/>
      <c r="E2" s="21"/>
      <c r="F2" s="21"/>
      <c r="G2" s="21"/>
      <c r="H2" s="21"/>
    </row>
    <row r="4" spans="1:8" x14ac:dyDescent="0.3">
      <c r="A4" s="20" t="s">
        <v>2</v>
      </c>
      <c r="B4" s="21"/>
      <c r="C4" s="21"/>
      <c r="D4" s="21"/>
      <c r="E4" s="21"/>
      <c r="F4" s="21"/>
      <c r="G4" s="21"/>
      <c r="H4" s="21"/>
    </row>
    <row r="6" spans="1:8" x14ac:dyDescent="0.3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</row>
    <row r="7" spans="1:8" ht="22.8" x14ac:dyDescent="0.3">
      <c r="A7" s="2" t="s">
        <v>11</v>
      </c>
      <c r="B7" s="2" t="s">
        <v>12</v>
      </c>
      <c r="C7" s="2" t="s">
        <v>13</v>
      </c>
      <c r="D7" s="3">
        <v>0.02</v>
      </c>
      <c r="E7" s="3">
        <v>1.4E-2</v>
      </c>
      <c r="F7" s="2" t="str">
        <f>IF(E7&lt;=D7,"Dentro da meta (simulado)","Fora da meta (simulado)")</f>
        <v>Dentro da meta (simulado)</v>
      </c>
      <c r="G7" s="2" t="s">
        <v>14</v>
      </c>
      <c r="H7" s="2" t="s">
        <v>15</v>
      </c>
    </row>
    <row r="8" spans="1:8" ht="22.8" x14ac:dyDescent="0.3">
      <c r="A8" s="4" t="s">
        <v>16</v>
      </c>
      <c r="B8" s="4" t="s">
        <v>17</v>
      </c>
      <c r="C8" s="4" t="s">
        <v>18</v>
      </c>
      <c r="D8" s="5">
        <v>0.8</v>
      </c>
      <c r="E8" s="5">
        <v>0.84199999999999997</v>
      </c>
      <c r="F8" s="4" t="str">
        <f>IF(E8&gt;=D8,"Dentro da meta (simulado)","Fora da meta (simulado)")</f>
        <v>Dentro da meta (simulado)</v>
      </c>
      <c r="G8" s="4" t="s">
        <v>19</v>
      </c>
      <c r="H8" s="4" t="s">
        <v>20</v>
      </c>
    </row>
    <row r="9" spans="1:8" ht="22.8" x14ac:dyDescent="0.3">
      <c r="A9" s="2" t="s">
        <v>21</v>
      </c>
      <c r="B9" s="2" t="s">
        <v>22</v>
      </c>
      <c r="C9" s="2" t="s">
        <v>23</v>
      </c>
      <c r="D9" s="6">
        <v>2</v>
      </c>
      <c r="E9" s="6">
        <v>1.8</v>
      </c>
      <c r="F9" s="2" t="str">
        <f>IF(E9&lt;D9,"Dentro da meta (simulado)","Fora da meta (simulado)")</f>
        <v>Dentro da meta (simulado)</v>
      </c>
      <c r="G9" s="2" t="s">
        <v>24</v>
      </c>
      <c r="H9" s="2" t="s">
        <v>25</v>
      </c>
    </row>
    <row r="10" spans="1:8" ht="22.8" x14ac:dyDescent="0.3">
      <c r="A10" s="4" t="s">
        <v>26</v>
      </c>
      <c r="B10" s="4" t="s">
        <v>27</v>
      </c>
      <c r="C10" s="4" t="s">
        <v>28</v>
      </c>
      <c r="D10" s="5">
        <v>0.995</v>
      </c>
      <c r="E10" s="5">
        <v>0.997</v>
      </c>
      <c r="F10" s="4" t="str">
        <f>IF(E10&gt;=D10,"Dentro da meta (simulado)","Fora da meta (simulado)")</f>
        <v>Dentro da meta (simulado)</v>
      </c>
      <c r="G10" s="4" t="s">
        <v>29</v>
      </c>
      <c r="H10" s="4" t="s">
        <v>30</v>
      </c>
    </row>
    <row r="11" spans="1:8" ht="22.8" x14ac:dyDescent="0.3">
      <c r="A11" s="2" t="s">
        <v>31</v>
      </c>
      <c r="B11" s="2" t="s">
        <v>32</v>
      </c>
      <c r="C11" s="2" t="s">
        <v>33</v>
      </c>
      <c r="D11" s="3">
        <v>0.85</v>
      </c>
      <c r="E11" s="3">
        <v>0.88</v>
      </c>
      <c r="F11" s="2" t="str">
        <f>IF(E11&gt;D11,"Dentro da meta (simulado)","Fora da meta (simulado)")</f>
        <v>Dentro da meta (simulado)</v>
      </c>
      <c r="G11" s="2" t="s">
        <v>34</v>
      </c>
      <c r="H11" s="2" t="s">
        <v>35</v>
      </c>
    </row>
    <row r="12" spans="1:8" ht="22.8" x14ac:dyDescent="0.3">
      <c r="A12" s="4" t="s">
        <v>36</v>
      </c>
      <c r="B12" s="4" t="s">
        <v>37</v>
      </c>
      <c r="C12" s="4" t="s">
        <v>38</v>
      </c>
      <c r="D12" s="7">
        <v>24</v>
      </c>
      <c r="E12" s="7">
        <v>18</v>
      </c>
      <c r="F12" s="4" t="str">
        <f>IF(E12&lt;D12,"Dentro da meta (simulado)","Fora da meta (simulado)")</f>
        <v>Dentro da meta (simulado)</v>
      </c>
      <c r="G12" s="4" t="s">
        <v>39</v>
      </c>
      <c r="H12" s="4" t="s">
        <v>40</v>
      </c>
    </row>
  </sheetData>
  <mergeCells count="3">
    <mergeCell ref="A4:H4"/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showGridLines="0" workbookViewId="0">
      <pane ySplit="3" topLeftCell="A4" activePane="bottomLeft" state="frozen"/>
      <selection pane="bottomLeft" activeCell="A5" sqref="A5"/>
    </sheetView>
  </sheetViews>
  <sheetFormatPr defaultRowHeight="14.4" x14ac:dyDescent="0.3"/>
  <cols>
    <col min="1" max="1" width="29" customWidth="1"/>
    <col min="2" max="2" width="46" customWidth="1"/>
    <col min="3" max="3" width="18" customWidth="1"/>
    <col min="4" max="4" width="20" customWidth="1"/>
    <col min="5" max="5" width="38" customWidth="1"/>
    <col min="6" max="6" width="50" customWidth="1"/>
  </cols>
  <sheetData>
    <row r="1" spans="1:6" ht="28.05" customHeight="1" x14ac:dyDescent="0.3">
      <c r="A1" s="23" t="s">
        <v>41</v>
      </c>
      <c r="B1" s="21"/>
      <c r="C1" s="21"/>
      <c r="D1" s="21"/>
      <c r="E1" s="21"/>
      <c r="F1" s="21"/>
    </row>
    <row r="3" spans="1:6" x14ac:dyDescent="0.3">
      <c r="A3" s="1" t="s">
        <v>42</v>
      </c>
      <c r="B3" s="1" t="s">
        <v>43</v>
      </c>
      <c r="C3" s="1" t="s">
        <v>44</v>
      </c>
      <c r="D3" s="1" t="s">
        <v>7</v>
      </c>
      <c r="E3" s="1" t="s">
        <v>45</v>
      </c>
      <c r="F3" s="1" t="s">
        <v>10</v>
      </c>
    </row>
    <row r="4" spans="1:6" ht="48" customHeight="1" x14ac:dyDescent="0.3">
      <c r="A4" s="4" t="s">
        <v>46</v>
      </c>
      <c r="B4" s="4" t="s">
        <v>47</v>
      </c>
      <c r="C4" s="4" t="s">
        <v>48</v>
      </c>
      <c r="D4" s="4" t="s">
        <v>49</v>
      </c>
      <c r="E4" s="4" t="s">
        <v>50</v>
      </c>
      <c r="F4" s="4" t="s">
        <v>51</v>
      </c>
    </row>
    <row r="5" spans="1:6" ht="48" customHeight="1" x14ac:dyDescent="0.3">
      <c r="A5" s="2" t="s">
        <v>52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57</v>
      </c>
    </row>
    <row r="6" spans="1:6" ht="48" customHeight="1" x14ac:dyDescent="0.3">
      <c r="A6" s="4" t="s">
        <v>58</v>
      </c>
      <c r="B6" s="4" t="s">
        <v>59</v>
      </c>
      <c r="C6" s="4" t="s">
        <v>60</v>
      </c>
      <c r="D6" s="4" t="s">
        <v>61</v>
      </c>
      <c r="E6" s="4" t="s">
        <v>62</v>
      </c>
      <c r="F6" s="4" t="s">
        <v>63</v>
      </c>
    </row>
    <row r="7" spans="1:6" ht="48" customHeight="1" x14ac:dyDescent="0.3">
      <c r="A7" s="2" t="s">
        <v>64</v>
      </c>
      <c r="B7" s="2" t="s">
        <v>65</v>
      </c>
      <c r="C7" s="2" t="s">
        <v>66</v>
      </c>
      <c r="D7" s="2" t="s">
        <v>67</v>
      </c>
      <c r="E7" s="2" t="s">
        <v>68</v>
      </c>
      <c r="F7" s="2" t="s">
        <v>69</v>
      </c>
    </row>
    <row r="8" spans="1:6" ht="48" customHeight="1" x14ac:dyDescent="0.3">
      <c r="A8" s="4" t="s">
        <v>70</v>
      </c>
      <c r="B8" s="4" t="s">
        <v>71</v>
      </c>
      <c r="C8" s="4" t="s">
        <v>72</v>
      </c>
      <c r="D8" s="4" t="s">
        <v>73</v>
      </c>
      <c r="E8" s="4" t="s">
        <v>74</v>
      </c>
      <c r="F8" s="4" t="s">
        <v>75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showGridLines="0" tabSelected="1" workbookViewId="0">
      <pane ySplit="3" topLeftCell="A10" activePane="bottomLeft" state="frozen"/>
      <selection pane="bottomLeft" activeCell="F16" sqref="F16"/>
    </sheetView>
  </sheetViews>
  <sheetFormatPr defaultRowHeight="14.4" x14ac:dyDescent="0.3"/>
  <cols>
    <col min="1" max="1" width="16" customWidth="1"/>
    <col min="2" max="2" width="25" customWidth="1"/>
    <col min="3" max="3" width="18" customWidth="1"/>
    <col min="4" max="4" width="20" customWidth="1"/>
    <col min="5" max="5" width="18" customWidth="1"/>
    <col min="6" max="6" width="16" customWidth="1"/>
  </cols>
  <sheetData>
    <row r="1" spans="1:6" ht="28.05" customHeight="1" x14ac:dyDescent="0.3">
      <c r="A1" s="23" t="s">
        <v>76</v>
      </c>
      <c r="B1" s="21"/>
      <c r="C1" s="21"/>
      <c r="D1" s="21"/>
      <c r="E1" s="21"/>
      <c r="F1" s="21"/>
    </row>
    <row r="3" spans="1:6" x14ac:dyDescent="0.3">
      <c r="A3" s="1" t="s">
        <v>77</v>
      </c>
      <c r="B3" s="1" t="s">
        <v>78</v>
      </c>
      <c r="C3" s="1" t="s">
        <v>79</v>
      </c>
      <c r="D3" s="1" t="s">
        <v>27</v>
      </c>
      <c r="E3" s="1" t="s">
        <v>80</v>
      </c>
      <c r="F3" s="1" t="s">
        <v>81</v>
      </c>
    </row>
    <row r="4" spans="1:6" x14ac:dyDescent="0.3">
      <c r="A4" s="8" t="s">
        <v>82</v>
      </c>
      <c r="B4" s="9">
        <v>0.62</v>
      </c>
      <c r="C4" s="10">
        <v>2.8</v>
      </c>
      <c r="D4" s="9">
        <v>0.99099999999999999</v>
      </c>
      <c r="E4" s="9">
        <v>0.79</v>
      </c>
      <c r="F4" s="10">
        <v>31</v>
      </c>
    </row>
    <row r="5" spans="1:6" x14ac:dyDescent="0.3">
      <c r="A5" s="11" t="s">
        <v>83</v>
      </c>
      <c r="B5" s="12">
        <v>0.69</v>
      </c>
      <c r="C5" s="13">
        <v>2.5</v>
      </c>
      <c r="D5" s="12">
        <v>0.99299999999999999</v>
      </c>
      <c r="E5" s="12">
        <v>0.81</v>
      </c>
      <c r="F5" s="13">
        <v>28</v>
      </c>
    </row>
    <row r="6" spans="1:6" x14ac:dyDescent="0.3">
      <c r="A6" s="8" t="s">
        <v>84</v>
      </c>
      <c r="B6" s="9">
        <v>0.74</v>
      </c>
      <c r="C6" s="10">
        <v>2.2000000000000002</v>
      </c>
      <c r="D6" s="9">
        <v>0.99399999999999999</v>
      </c>
      <c r="E6" s="9">
        <v>0.83</v>
      </c>
      <c r="F6" s="10">
        <v>25</v>
      </c>
    </row>
    <row r="7" spans="1:6" x14ac:dyDescent="0.3">
      <c r="A7" s="11" t="s">
        <v>85</v>
      </c>
      <c r="B7" s="12">
        <v>0.79</v>
      </c>
      <c r="C7" s="13">
        <v>2.1</v>
      </c>
      <c r="D7" s="12">
        <v>0.996</v>
      </c>
      <c r="E7" s="12">
        <v>0.86</v>
      </c>
      <c r="F7" s="13">
        <v>22</v>
      </c>
    </row>
    <row r="8" spans="1:6" x14ac:dyDescent="0.3">
      <c r="A8" s="8" t="s">
        <v>86</v>
      </c>
      <c r="B8" s="9">
        <v>0.84199999999999997</v>
      </c>
      <c r="C8" s="10">
        <v>1.8</v>
      </c>
      <c r="D8" s="9">
        <v>0.997</v>
      </c>
      <c r="E8" s="9">
        <v>0.88</v>
      </c>
      <c r="F8" s="10">
        <v>18</v>
      </c>
    </row>
    <row r="11" spans="1:6" ht="28.05" customHeight="1" x14ac:dyDescent="0.3">
      <c r="A11" s="24" t="s">
        <v>87</v>
      </c>
      <c r="B11" s="21"/>
      <c r="C11" s="21"/>
      <c r="D11" s="21"/>
      <c r="E11" s="21"/>
      <c r="F11" s="21"/>
    </row>
    <row r="12" spans="1:6" ht="19.95" customHeight="1" x14ac:dyDescent="0.3">
      <c r="A12" s="21"/>
      <c r="B12" s="21"/>
      <c r="C12" s="21"/>
      <c r="D12" s="21"/>
      <c r="E12" s="21"/>
      <c r="F12" s="21"/>
    </row>
  </sheetData>
  <mergeCells count="2">
    <mergeCell ref="A1:F1"/>
    <mergeCell ref="A11:F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showGridLines="0" workbookViewId="0">
      <selection sqref="A1:B1"/>
    </sheetView>
  </sheetViews>
  <sheetFormatPr defaultRowHeight="14.4" x14ac:dyDescent="0.3"/>
  <cols>
    <col min="1" max="1" width="27" customWidth="1"/>
    <col min="2" max="2" width="72" customWidth="1"/>
  </cols>
  <sheetData>
    <row r="1" spans="1:2" ht="28.05" customHeight="1" x14ac:dyDescent="0.3">
      <c r="A1" s="23" t="s">
        <v>88</v>
      </c>
      <c r="B1" s="21"/>
    </row>
    <row r="3" spans="1:2" ht="42" customHeight="1" x14ac:dyDescent="0.3">
      <c r="A3" s="14" t="s">
        <v>89</v>
      </c>
      <c r="B3" s="15" t="s">
        <v>90</v>
      </c>
    </row>
    <row r="4" spans="1:2" ht="42" customHeight="1" x14ac:dyDescent="0.3">
      <c r="A4" s="14" t="s">
        <v>91</v>
      </c>
      <c r="B4" s="15" t="s">
        <v>92</v>
      </c>
    </row>
    <row r="5" spans="1:2" ht="42" customHeight="1" x14ac:dyDescent="0.3">
      <c r="A5" s="14" t="s">
        <v>93</v>
      </c>
      <c r="B5" s="15" t="s">
        <v>94</v>
      </c>
    </row>
    <row r="6" spans="1:2" ht="42" customHeight="1" x14ac:dyDescent="0.3">
      <c r="A6" s="14" t="s">
        <v>95</v>
      </c>
      <c r="B6" s="15" t="s">
        <v>96</v>
      </c>
    </row>
    <row r="7" spans="1:2" ht="42" customHeight="1" x14ac:dyDescent="0.3">
      <c r="A7" s="14" t="s">
        <v>97</v>
      </c>
      <c r="B7" s="15" t="s">
        <v>98</v>
      </c>
    </row>
    <row r="8" spans="1:2" ht="42" customHeight="1" x14ac:dyDescent="0.3">
      <c r="A8" s="14" t="s">
        <v>99</v>
      </c>
      <c r="B8" s="15" t="s">
        <v>100</v>
      </c>
    </row>
    <row r="9" spans="1:2" ht="42" customHeight="1" x14ac:dyDescent="0.3">
      <c r="A9" s="14" t="s">
        <v>101</v>
      </c>
      <c r="B9" s="15" t="s">
        <v>102</v>
      </c>
    </row>
    <row r="10" spans="1:2" ht="42" customHeight="1" x14ac:dyDescent="0.3">
      <c r="A10" s="14" t="s">
        <v>103</v>
      </c>
      <c r="B10" s="15" t="s">
        <v>104</v>
      </c>
    </row>
    <row r="11" spans="1:2" ht="42" customHeight="1" x14ac:dyDescent="0.3">
      <c r="A11" s="14" t="s">
        <v>105</v>
      </c>
      <c r="B11" s="15" t="s">
        <v>106</v>
      </c>
    </row>
    <row r="12" spans="1:2" x14ac:dyDescent="0.3">
      <c r="A12" s="18" t="s">
        <v>107</v>
      </c>
      <c r="B12" s="19" t="s">
        <v>108</v>
      </c>
    </row>
    <row r="13" spans="1:2" ht="28.8" x14ac:dyDescent="0.3">
      <c r="A13" s="18" t="s">
        <v>109</v>
      </c>
      <c r="B13" s="19" t="s">
        <v>110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9"/>
  <sheetViews>
    <sheetView workbookViewId="0">
      <pane ySplit="5" topLeftCell="A36" activePane="bottomLeft" state="frozen"/>
      <selection pane="bottomLeft" activeCell="B41" sqref="B41"/>
    </sheetView>
  </sheetViews>
  <sheetFormatPr defaultRowHeight="14.4" x14ac:dyDescent="0.3"/>
  <cols>
    <col min="1" max="1" width="30" customWidth="1"/>
    <col min="2" max="2" width="36" customWidth="1"/>
    <col min="3" max="3" width="45" customWidth="1"/>
    <col min="4" max="5" width="18" customWidth="1"/>
    <col min="6" max="6" width="47" customWidth="1"/>
  </cols>
  <sheetData>
    <row r="1" spans="1:6" ht="31.95" customHeight="1" x14ac:dyDescent="0.3">
      <c r="A1" s="25" t="s">
        <v>111</v>
      </c>
      <c r="B1" s="25"/>
      <c r="C1" s="25"/>
      <c r="D1" s="25"/>
      <c r="E1" s="25"/>
      <c r="F1" s="25"/>
    </row>
    <row r="2" spans="1:6" ht="31.95" customHeight="1" x14ac:dyDescent="0.3">
      <c r="A2" s="26" t="s">
        <v>112</v>
      </c>
      <c r="B2" s="26"/>
      <c r="C2" s="26"/>
      <c r="D2" s="26"/>
      <c r="E2" s="26"/>
      <c r="F2" s="26"/>
    </row>
    <row r="4" spans="1:6" ht="22.05" customHeight="1" x14ac:dyDescent="0.3">
      <c r="A4" s="27" t="s">
        <v>113</v>
      </c>
      <c r="B4" s="27"/>
      <c r="C4" s="27"/>
      <c r="D4" s="27"/>
      <c r="E4" s="27"/>
      <c r="F4" s="27"/>
    </row>
    <row r="5" spans="1:6" ht="27.6" x14ac:dyDescent="0.3">
      <c r="A5" s="16" t="s">
        <v>114</v>
      </c>
      <c r="B5" s="16" t="s">
        <v>115</v>
      </c>
      <c r="C5" s="16" t="s">
        <v>116</v>
      </c>
      <c r="D5" s="16" t="s">
        <v>117</v>
      </c>
      <c r="E5" s="16" t="s">
        <v>118</v>
      </c>
      <c r="F5" s="16" t="s">
        <v>119</v>
      </c>
    </row>
    <row r="6" spans="1:6" ht="27.6" x14ac:dyDescent="0.3">
      <c r="A6" s="17" t="s">
        <v>120</v>
      </c>
      <c r="B6" s="17" t="s">
        <v>121</v>
      </c>
      <c r="C6" s="17">
        <v>18</v>
      </c>
      <c r="D6" s="17">
        <v>39</v>
      </c>
      <c r="E6" s="17">
        <v>0</v>
      </c>
      <c r="F6" s="17" t="s">
        <v>122</v>
      </c>
    </row>
    <row r="8" spans="1:6" ht="22.05" customHeight="1" x14ac:dyDescent="0.3">
      <c r="A8" s="27" t="s">
        <v>123</v>
      </c>
      <c r="B8" s="27"/>
      <c r="C8" s="27"/>
      <c r="D8" s="27"/>
      <c r="E8" s="27"/>
      <c r="F8" s="27"/>
    </row>
    <row r="9" spans="1:6" x14ac:dyDescent="0.3">
      <c r="A9" s="16" t="s">
        <v>124</v>
      </c>
      <c r="B9" s="16" t="s">
        <v>125</v>
      </c>
      <c r="C9" s="16" t="s">
        <v>126</v>
      </c>
    </row>
    <row r="10" spans="1:6" ht="27.6" x14ac:dyDescent="0.3">
      <c r="A10" s="17" t="s">
        <v>127</v>
      </c>
      <c r="B10" s="17">
        <v>500</v>
      </c>
      <c r="C10" s="17" t="s">
        <v>128</v>
      </c>
    </row>
    <row r="11" spans="1:6" x14ac:dyDescent="0.3">
      <c r="A11" s="17" t="s">
        <v>129</v>
      </c>
      <c r="B11" s="17">
        <v>30.44</v>
      </c>
      <c r="C11" s="17" t="s">
        <v>130</v>
      </c>
    </row>
    <row r="12" spans="1:6" x14ac:dyDescent="0.3">
      <c r="A12" s="17" t="s">
        <v>131</v>
      </c>
      <c r="B12" s="17">
        <v>15000</v>
      </c>
      <c r="C12" s="17" t="s">
        <v>132</v>
      </c>
    </row>
    <row r="13" spans="1:6" x14ac:dyDescent="0.3">
      <c r="A13" s="17" t="s">
        <v>133</v>
      </c>
      <c r="B13" s="17">
        <v>0</v>
      </c>
      <c r="C13" s="17" t="s">
        <v>134</v>
      </c>
    </row>
    <row r="14" spans="1:6" x14ac:dyDescent="0.3">
      <c r="A14" s="17" t="s">
        <v>135</v>
      </c>
      <c r="B14" s="17">
        <v>492.73</v>
      </c>
      <c r="C14" s="17" t="s">
        <v>136</v>
      </c>
    </row>
    <row r="15" spans="1:6" x14ac:dyDescent="0.3">
      <c r="A15" s="17" t="s">
        <v>137</v>
      </c>
      <c r="B15" s="17">
        <v>0.82</v>
      </c>
      <c r="C15" s="17" t="s">
        <v>138</v>
      </c>
    </row>
    <row r="16" spans="1:6" x14ac:dyDescent="0.3">
      <c r="A16" s="17" t="s">
        <v>139</v>
      </c>
      <c r="B16" s="17">
        <v>4.8099999999999996</v>
      </c>
      <c r="C16" s="17" t="s">
        <v>138</v>
      </c>
    </row>
    <row r="17" spans="1:6" x14ac:dyDescent="0.3">
      <c r="A17" s="17" t="s">
        <v>140</v>
      </c>
      <c r="B17" s="17">
        <v>10.39</v>
      </c>
      <c r="C17" s="17" t="s">
        <v>141</v>
      </c>
    </row>
    <row r="18" spans="1:6" x14ac:dyDescent="0.3">
      <c r="A18" s="17" t="s">
        <v>142</v>
      </c>
      <c r="B18" s="17">
        <v>226.62</v>
      </c>
      <c r="C18" s="17" t="s">
        <v>138</v>
      </c>
    </row>
    <row r="19" spans="1:6" x14ac:dyDescent="0.3">
      <c r="A19" s="17" t="s">
        <v>143</v>
      </c>
      <c r="B19" s="17">
        <v>248.75</v>
      </c>
      <c r="C19" s="17" t="s">
        <v>138</v>
      </c>
    </row>
    <row r="21" spans="1:6" ht="22.05" customHeight="1" x14ac:dyDescent="0.3">
      <c r="A21" s="27" t="s">
        <v>144</v>
      </c>
      <c r="B21" s="27"/>
      <c r="C21" s="27"/>
      <c r="D21" s="27"/>
      <c r="E21" s="27"/>
      <c r="F21" s="27"/>
    </row>
    <row r="22" spans="1:6" x14ac:dyDescent="0.3">
      <c r="A22" s="16" t="s">
        <v>3</v>
      </c>
      <c r="B22" s="16" t="s">
        <v>145</v>
      </c>
      <c r="C22" s="16" t="s">
        <v>146</v>
      </c>
    </row>
    <row r="23" spans="1:6" x14ac:dyDescent="0.3">
      <c r="A23" s="17" t="s">
        <v>147</v>
      </c>
      <c r="B23" s="17" t="s">
        <v>148</v>
      </c>
      <c r="C23" s="17" t="s">
        <v>149</v>
      </c>
    </row>
    <row r="24" spans="1:6" x14ac:dyDescent="0.3">
      <c r="A24" s="17" t="s">
        <v>150</v>
      </c>
      <c r="B24" s="17" t="s">
        <v>151</v>
      </c>
      <c r="C24" s="17" t="s">
        <v>149</v>
      </c>
    </row>
    <row r="25" spans="1:6" x14ac:dyDescent="0.3">
      <c r="A25" s="17" t="s">
        <v>152</v>
      </c>
      <c r="B25" s="17" t="s">
        <v>153</v>
      </c>
      <c r="C25" s="17" t="s">
        <v>149</v>
      </c>
    </row>
    <row r="26" spans="1:6" x14ac:dyDescent="0.3">
      <c r="A26" s="17" t="s">
        <v>154</v>
      </c>
      <c r="B26" s="17" t="s">
        <v>155</v>
      </c>
      <c r="C26" s="17" t="s">
        <v>156</v>
      </c>
    </row>
    <row r="27" spans="1:6" x14ac:dyDescent="0.3">
      <c r="A27" s="17" t="s">
        <v>157</v>
      </c>
      <c r="B27" s="17" t="s">
        <v>158</v>
      </c>
      <c r="C27" s="17" t="s">
        <v>156</v>
      </c>
    </row>
    <row r="28" spans="1:6" x14ac:dyDescent="0.3">
      <c r="A28" s="17" t="s">
        <v>159</v>
      </c>
      <c r="B28" s="17" t="s">
        <v>160</v>
      </c>
      <c r="C28" s="17" t="s">
        <v>161</v>
      </c>
    </row>
    <row r="30" spans="1:6" ht="22.05" customHeight="1" x14ac:dyDescent="0.3">
      <c r="A30" s="27" t="s">
        <v>162</v>
      </c>
      <c r="B30" s="27"/>
      <c r="C30" s="27"/>
      <c r="D30" s="27"/>
      <c r="E30" s="27"/>
      <c r="F30" s="27"/>
    </row>
    <row r="31" spans="1:6" x14ac:dyDescent="0.3">
      <c r="A31" s="16" t="s">
        <v>163</v>
      </c>
      <c r="B31" s="16" t="s">
        <v>119</v>
      </c>
      <c r="C31" s="16" t="s">
        <v>164</v>
      </c>
    </row>
    <row r="32" spans="1:6" x14ac:dyDescent="0.3">
      <c r="A32" s="17" t="s">
        <v>165</v>
      </c>
      <c r="B32" s="17" t="s">
        <v>166</v>
      </c>
      <c r="C32" s="17" t="s">
        <v>167</v>
      </c>
    </row>
    <row r="33" spans="1:6" ht="27.6" x14ac:dyDescent="0.3">
      <c r="A33" s="17" t="s">
        <v>168</v>
      </c>
      <c r="B33" s="17" t="s">
        <v>166</v>
      </c>
      <c r="C33" s="17" t="s">
        <v>169</v>
      </c>
    </row>
    <row r="34" spans="1:6" x14ac:dyDescent="0.3">
      <c r="A34" s="17" t="s">
        <v>170</v>
      </c>
      <c r="B34" s="17" t="s">
        <v>166</v>
      </c>
      <c r="C34" s="17" t="s">
        <v>171</v>
      </c>
    </row>
    <row r="35" spans="1:6" ht="27.6" x14ac:dyDescent="0.3">
      <c r="A35" s="17" t="s">
        <v>172</v>
      </c>
      <c r="B35" s="17" t="s">
        <v>173</v>
      </c>
      <c r="C35" s="17" t="s">
        <v>174</v>
      </c>
    </row>
    <row r="36" spans="1:6" x14ac:dyDescent="0.3">
      <c r="A36" s="17" t="s">
        <v>175</v>
      </c>
      <c r="B36" s="17" t="s">
        <v>166</v>
      </c>
      <c r="C36" s="17" t="s">
        <v>176</v>
      </c>
    </row>
    <row r="38" spans="1:6" ht="40.049999999999997" customHeight="1" x14ac:dyDescent="0.3">
      <c r="A38" s="28" t="s">
        <v>177</v>
      </c>
      <c r="B38" s="28"/>
      <c r="C38" s="28"/>
      <c r="D38" s="28"/>
      <c r="E38" s="28"/>
      <c r="F38" s="28"/>
    </row>
    <row r="39" spans="1:6" ht="40.049999999999997" customHeight="1" x14ac:dyDescent="0.3">
      <c r="A39" s="28"/>
      <c r="B39" s="28"/>
      <c r="C39" s="28"/>
      <c r="D39" s="28"/>
      <c r="E39" s="28"/>
      <c r="F39" s="28"/>
    </row>
  </sheetData>
  <mergeCells count="7">
    <mergeCell ref="A30:F30"/>
    <mergeCell ref="A38:F39"/>
    <mergeCell ref="A1:F1"/>
    <mergeCell ref="A2:F2"/>
    <mergeCell ref="A4:F4"/>
    <mergeCell ref="A8:F8"/>
    <mergeCell ref="A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KPIs obrigatórios</vt:lpstr>
      <vt:lpstr>KPIs complementares</vt:lpstr>
      <vt:lpstr>Tendência simulada</vt:lpstr>
      <vt:lpstr>Instruções</vt:lpstr>
      <vt:lpstr>Execução mock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cci</cp:lastModifiedBy>
  <dcterms:modified xsi:type="dcterms:W3CDTF">2026-10-16T16:08:45Z</dcterms:modified>
</cp:coreProperties>
</file>